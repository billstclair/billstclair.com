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330"/>
  <workbookPr showInkAnnotation="0" autoCompressPictures="0"/>
  <bookViews>
    <workbookView xWindow="0" yWindow="0" windowWidth="27860" windowHeight="226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75" i="1" l="1"/>
  <c r="E75" i="1"/>
  <c r="E77" i="1"/>
  <c r="E82" i="1"/>
  <c r="I69" i="1"/>
  <c r="G69" i="1"/>
  <c r="F69" i="1"/>
  <c r="E69" i="1"/>
  <c r="F74" i="1"/>
  <c r="E74" i="1"/>
  <c r="F72" i="1"/>
  <c r="E72" i="1"/>
  <c r="F71" i="1"/>
  <c r="E71" i="1"/>
  <c r="F66" i="1"/>
  <c r="G65" i="1"/>
  <c r="G66" i="1"/>
  <c r="G67" i="1"/>
  <c r="G68" i="1"/>
  <c r="F65" i="1"/>
  <c r="E64" i="1"/>
  <c r="G38" i="1"/>
  <c r="G44" i="1"/>
  <c r="G53" i="1"/>
  <c r="G64" i="1"/>
  <c r="E38" i="1"/>
  <c r="E23" i="1"/>
  <c r="E61" i="1"/>
  <c r="F29" i="1"/>
  <c r="E29" i="1"/>
  <c r="E13" i="1"/>
  <c r="E9" i="1"/>
  <c r="F4" i="1"/>
  <c r="F45" i="1"/>
  <c r="G59" i="1"/>
  <c r="G8" i="1"/>
  <c r="G48" i="1"/>
  <c r="G56" i="1"/>
  <c r="G45" i="1"/>
  <c r="G4" i="1"/>
  <c r="G16" i="1"/>
  <c r="G9" i="1"/>
  <c r="G13" i="1"/>
  <c r="G51" i="1"/>
  <c r="G52" i="1"/>
  <c r="G55" i="1"/>
  <c r="G57" i="1"/>
  <c r="G46" i="1"/>
  <c r="G29" i="1"/>
  <c r="G7" i="1"/>
  <c r="G10" i="1"/>
  <c r="G14" i="1"/>
  <c r="G33" i="1"/>
  <c r="G61" i="1"/>
  <c r="G36" i="1"/>
  <c r="G62" i="1"/>
  <c r="G20" i="1"/>
  <c r="G43" i="1"/>
  <c r="G23" i="1"/>
  <c r="G63" i="1"/>
  <c r="G60" i="1"/>
  <c r="E50" i="1"/>
  <c r="E42" i="1"/>
  <c r="E19" i="1"/>
  <c r="E12" i="1"/>
  <c r="E21" i="1"/>
  <c r="E25" i="1"/>
  <c r="E39" i="1"/>
  <c r="F39" i="1"/>
  <c r="G35" i="1"/>
  <c r="E31" i="1"/>
  <c r="G30" i="1"/>
  <c r="G31" i="1"/>
  <c r="G40" i="1"/>
  <c r="G26" i="1"/>
  <c r="G34" i="1"/>
  <c r="G39" i="1"/>
  <c r="G37" i="1"/>
  <c r="G28" i="1"/>
  <c r="G22" i="1"/>
  <c r="G5" i="1"/>
  <c r="G27" i="1"/>
  <c r="G24" i="1"/>
  <c r="G25" i="1"/>
  <c r="G15" i="1"/>
  <c r="G17" i="1"/>
  <c r="G18" i="1"/>
  <c r="G21" i="1"/>
  <c r="G12" i="1"/>
  <c r="G19" i="1"/>
  <c r="G6" i="1"/>
  <c r="G54" i="1"/>
  <c r="G47" i="1"/>
  <c r="G32" i="1"/>
  <c r="G58" i="1"/>
  <c r="G41" i="1"/>
  <c r="G42" i="1"/>
  <c r="G49" i="1"/>
  <c r="G50" i="1"/>
  <c r="G11" i="1"/>
  <c r="G72" i="1"/>
  <c r="G73" i="1"/>
  <c r="G74" i="1"/>
  <c r="G75" i="1"/>
  <c r="G76" i="1"/>
  <c r="F77" i="1"/>
  <c r="G77" i="1"/>
  <c r="G78" i="1"/>
  <c r="E79" i="1"/>
  <c r="F79" i="1"/>
  <c r="G79" i="1"/>
  <c r="G71" i="1"/>
</calcChain>
</file>

<file path=xl/sharedStrings.xml><?xml version="1.0" encoding="utf-8"?>
<sst xmlns="http://schemas.openxmlformats.org/spreadsheetml/2006/main" count="212" uniqueCount="46">
  <si>
    <t>Date</t>
  </si>
  <si>
    <t>Patient</t>
  </si>
  <si>
    <t>Total</t>
  </si>
  <si>
    <t>Net</t>
  </si>
  <si>
    <t>Paid by Insurance</t>
  </si>
  <si>
    <t>Victoria</t>
  </si>
  <si>
    <t>Bill</t>
  </si>
  <si>
    <t>Karla</t>
  </si>
  <si>
    <t>Vitacost</t>
  </si>
  <si>
    <t>Lodging</t>
  </si>
  <si>
    <t>2013 Medical Expenses</t>
  </si>
  <si>
    <t>Origins of Health</t>
  </si>
  <si>
    <t>Provider</t>
  </si>
  <si>
    <t>Type of Expense</t>
  </si>
  <si>
    <t>Medical Expense</t>
  </si>
  <si>
    <t>Dental</t>
  </si>
  <si>
    <t>Travel Miles</t>
  </si>
  <si>
    <t>Jean's Greens</t>
  </si>
  <si>
    <t>Testing</t>
  </si>
  <si>
    <t>Thomas A. Moorcroft</t>
  </si>
  <si>
    <t>Physical Therapy</t>
  </si>
  <si>
    <t>Supplement</t>
  </si>
  <si>
    <t>Prescription</t>
  </si>
  <si>
    <t>Medical &amp; Dental</t>
  </si>
  <si>
    <t>Doctor</t>
  </si>
  <si>
    <t>Non-Prescription Meds</t>
  </si>
  <si>
    <t>Northampton Wellness Associates, LLC</t>
  </si>
  <si>
    <t>CVS Pharmacy</t>
  </si>
  <si>
    <t>Prescription Meds</t>
  </si>
  <si>
    <t>Guido's</t>
  </si>
  <si>
    <t>Berkshire Orthopaedic Associates, Inc.</t>
  </si>
  <si>
    <t>Melanie Levitan</t>
  </si>
  <si>
    <t>Siegel Chiropractic, LLC</t>
  </si>
  <si>
    <t>Downtown Physical Therapy</t>
  </si>
  <si>
    <t>Quest Diagnostics</t>
  </si>
  <si>
    <t>Lab Tests</t>
  </si>
  <si>
    <t>Berkshire Medical Center</t>
  </si>
  <si>
    <t>Berkshire Health Systems</t>
  </si>
  <si>
    <t>Lab work</t>
  </si>
  <si>
    <t>Herb O Bote</t>
  </si>
  <si>
    <t>??</t>
  </si>
  <si>
    <t>Berkshire Faculty Services</t>
  </si>
  <si>
    <t>Need to call them about this</t>
  </si>
  <si>
    <t>It's more, but I don't know how much, or when</t>
  </si>
  <si>
    <t>Stop &amp; Shop</t>
  </si>
  <si>
    <t>Prescriptions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</si>
</sst>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Font="1"/>
    <xf numFmtId="164" fontId="0" fillId="0" borderId="0" xfId="0" applyNumberFormat="1" applyFont="1" applyAlignment="1">
      <alignment horizontal="center" wrapText="1"/>
    </xf>
    <xf numFmtId="0" fontId="0" fillId="0" borderId="0" xfId="0" applyFont="1" applyAlignment="1">
      <alignment horizontal="center" wrapText="1"/>
    </xf>
    <xf numFmtId="2" fontId="0" fillId="0" borderId="0" xfId="0" applyNumberFormat="1" applyFont="1" applyAlignment="1">
      <alignment horizontal="center" wrapText="1"/>
    </xf>
    <xf numFmtId="164" fontId="0" fillId="0" borderId="0" xfId="0" applyNumberFormat="1" applyFont="1" applyAlignment="1">
      <alignment horizontal="left"/>
    </xf>
    <xf numFmtId="0" fontId="0" fillId="0" borderId="0" xfId="0" applyFont="1" applyAlignment="1">
      <alignment wrapText="1"/>
    </xf>
    <xf numFmtId="14" fontId="0" fillId="0" borderId="0" xfId="0" applyNumberFormat="1" applyFont="1" applyAlignment="1">
      <alignment horizontal="center" wrapText="1"/>
    </xf>
    <xf numFmtId="16" fontId="0" fillId="0" borderId="0" xfId="0" applyNumberFormat="1" applyFont="1" applyAlignment="1">
      <alignment horizontal="center" wrapText="1"/>
    </xf>
  </cellXfs>
  <cellStyles count="1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zoomScale="150" zoomScaleNormal="150" zoomScalePageLayoutView="150" workbookViewId="0">
      <pane ySplit="3" topLeftCell="A50" activePane="bottomLeft" state="frozen"/>
      <selection pane="bottomLeft" activeCell="E77" sqref="E77"/>
    </sheetView>
  </sheetViews>
  <sheetFormatPr baseColWidth="10" defaultRowHeight="15" x14ac:dyDescent="0"/>
  <cols>
    <col min="1" max="1" width="9.83203125" style="6" customWidth="1"/>
    <col min="2" max="2" width="12.1640625" style="2" customWidth="1"/>
    <col min="3" max="3" width="30.6640625" style="11" customWidth="1"/>
    <col min="4" max="4" width="18" customWidth="1"/>
    <col min="5" max="5" width="10.33203125" style="4" customWidth="1"/>
    <col min="6" max="6" width="10" style="4" customWidth="1"/>
    <col min="7" max="7" width="12.83203125" style="4" customWidth="1"/>
    <col min="8" max="8" width="6.5" customWidth="1"/>
    <col min="10" max="10" width="21.6640625" customWidth="1"/>
  </cols>
  <sheetData>
    <row r="1" spans="1:8" s="1" customFormat="1">
      <c r="A1" s="5" t="s">
        <v>10</v>
      </c>
      <c r="C1" s="10"/>
      <c r="E1" s="3"/>
      <c r="F1" s="3"/>
      <c r="G1" s="3"/>
    </row>
    <row r="3" spans="1:8" s="8" customFormat="1" ht="30">
      <c r="A3" s="7" t="s">
        <v>0</v>
      </c>
      <c r="B3" s="8" t="s">
        <v>1</v>
      </c>
      <c r="C3" s="8" t="s">
        <v>12</v>
      </c>
      <c r="D3" s="8" t="s">
        <v>13</v>
      </c>
      <c r="E3" s="9" t="s">
        <v>2</v>
      </c>
      <c r="F3" s="9" t="s">
        <v>4</v>
      </c>
      <c r="G3" s="9" t="s">
        <v>3</v>
      </c>
      <c r="H3" s="8" t="s">
        <v>16</v>
      </c>
    </row>
    <row r="4" spans="1:8" s="14" customFormat="1">
      <c r="A4" s="13">
        <v>41660</v>
      </c>
      <c r="B4" s="14" t="s">
        <v>7</v>
      </c>
      <c r="C4" s="14" t="s">
        <v>26</v>
      </c>
      <c r="D4" s="19" t="s">
        <v>24</v>
      </c>
      <c r="E4" s="15">
        <v>210</v>
      </c>
      <c r="F4" s="15">
        <f>87.17+82.83</f>
        <v>170</v>
      </c>
      <c r="G4" s="15">
        <f>E4-F4</f>
        <v>40</v>
      </c>
    </row>
    <row r="5" spans="1:8" s="14" customFormat="1">
      <c r="A5" s="13">
        <v>41666</v>
      </c>
      <c r="B5" s="14" t="s">
        <v>5</v>
      </c>
      <c r="C5" s="14" t="s">
        <v>19</v>
      </c>
      <c r="D5" s="14" t="s">
        <v>24</v>
      </c>
      <c r="E5" s="15">
        <v>255</v>
      </c>
      <c r="F5" s="15"/>
      <c r="G5" s="15">
        <f>E5-F5</f>
        <v>255</v>
      </c>
    </row>
    <row r="6" spans="1:8" s="14" customFormat="1" ht="30">
      <c r="A6" s="13">
        <v>41668</v>
      </c>
      <c r="B6" s="14" t="s">
        <v>7</v>
      </c>
      <c r="C6" s="14" t="s">
        <v>31</v>
      </c>
      <c r="D6" s="14" t="s">
        <v>24</v>
      </c>
      <c r="E6" s="15">
        <v>140</v>
      </c>
      <c r="F6" s="15">
        <v>115.7</v>
      </c>
      <c r="G6" s="15">
        <f>E6-F6</f>
        <v>24.299999999999997</v>
      </c>
    </row>
    <row r="7" spans="1:8" s="14" customFormat="1" ht="30">
      <c r="A7" s="13">
        <v>41681</v>
      </c>
      <c r="B7" s="14" t="s">
        <v>5</v>
      </c>
      <c r="C7" s="14" t="s">
        <v>39</v>
      </c>
      <c r="D7" s="19" t="s">
        <v>24</v>
      </c>
      <c r="E7" s="15">
        <v>332.05</v>
      </c>
      <c r="F7" s="15">
        <v>292.05</v>
      </c>
      <c r="G7" s="15">
        <f>E7-F7</f>
        <v>40</v>
      </c>
    </row>
    <row r="8" spans="1:8" s="14" customFormat="1" ht="30">
      <c r="A8" s="13">
        <v>41691</v>
      </c>
      <c r="B8" s="14" t="s">
        <v>5</v>
      </c>
      <c r="C8" s="14" t="s">
        <v>30</v>
      </c>
      <c r="D8" s="14" t="s">
        <v>24</v>
      </c>
      <c r="E8" s="15">
        <v>207</v>
      </c>
      <c r="F8" s="15"/>
      <c r="G8" s="15">
        <f>E8-F8</f>
        <v>207</v>
      </c>
    </row>
    <row r="9" spans="1:8" s="14" customFormat="1" ht="30">
      <c r="A9" s="13">
        <v>41691</v>
      </c>
      <c r="B9" s="14" t="s">
        <v>5</v>
      </c>
      <c r="C9" s="14" t="s">
        <v>30</v>
      </c>
      <c r="D9" s="19" t="s">
        <v>24</v>
      </c>
      <c r="E9" s="15">
        <f>115+92</f>
        <v>207</v>
      </c>
      <c r="F9" s="15"/>
      <c r="G9" s="15">
        <f>E9-F9</f>
        <v>207</v>
      </c>
    </row>
    <row r="10" spans="1:8" s="14" customFormat="1" ht="30">
      <c r="A10" s="13">
        <v>41691</v>
      </c>
      <c r="B10" s="14" t="s">
        <v>5</v>
      </c>
      <c r="C10" s="14" t="s">
        <v>39</v>
      </c>
      <c r="D10" s="19" t="s">
        <v>24</v>
      </c>
      <c r="E10" s="15">
        <v>207</v>
      </c>
      <c r="F10" s="15"/>
      <c r="G10" s="15">
        <f>E10-F10</f>
        <v>207</v>
      </c>
    </row>
    <row r="11" spans="1:8" s="14" customFormat="1">
      <c r="A11" s="13">
        <v>41696</v>
      </c>
      <c r="B11" s="14" t="s">
        <v>5</v>
      </c>
      <c r="C11" s="14" t="s">
        <v>19</v>
      </c>
      <c r="D11" s="14" t="s">
        <v>24</v>
      </c>
      <c r="E11" s="15">
        <v>255</v>
      </c>
      <c r="F11" s="15">
        <v>204</v>
      </c>
      <c r="G11" s="15">
        <f>E11-F11</f>
        <v>51</v>
      </c>
    </row>
    <row r="12" spans="1:8" s="14" customFormat="1" ht="30">
      <c r="A12" s="13">
        <v>41711</v>
      </c>
      <c r="B12" s="14" t="s">
        <v>5</v>
      </c>
      <c r="C12" s="14" t="s">
        <v>30</v>
      </c>
      <c r="D12" s="14" t="s">
        <v>24</v>
      </c>
      <c r="E12" s="15">
        <f>70+92</f>
        <v>162</v>
      </c>
      <c r="F12" s="15"/>
      <c r="G12" s="15">
        <f>E12-F12</f>
        <v>162</v>
      </c>
    </row>
    <row r="13" spans="1:8" s="14" customFormat="1" ht="30">
      <c r="A13" s="13">
        <v>41711</v>
      </c>
      <c r="B13" s="14" t="s">
        <v>5</v>
      </c>
      <c r="C13" s="14" t="s">
        <v>30</v>
      </c>
      <c r="D13" s="19" t="s">
        <v>24</v>
      </c>
      <c r="E13" s="15">
        <f>70+92</f>
        <v>162</v>
      </c>
      <c r="F13" s="15"/>
      <c r="G13" s="15">
        <f>E13-F13</f>
        <v>162</v>
      </c>
    </row>
    <row r="14" spans="1:8" s="14" customFormat="1">
      <c r="A14" s="13">
        <v>41711</v>
      </c>
      <c r="B14" s="14" t="s">
        <v>5</v>
      </c>
      <c r="C14" s="14" t="s">
        <v>39</v>
      </c>
      <c r="D14" s="19" t="s">
        <v>24</v>
      </c>
      <c r="E14" s="15">
        <v>162</v>
      </c>
      <c r="F14" s="15"/>
      <c r="G14" s="15">
        <f>E14-F14</f>
        <v>162</v>
      </c>
    </row>
    <row r="15" spans="1:8" s="14" customFormat="1">
      <c r="A15" s="13">
        <v>41723</v>
      </c>
      <c r="B15" s="14" t="s">
        <v>5</v>
      </c>
      <c r="C15" s="14" t="s">
        <v>17</v>
      </c>
      <c r="D15" s="14" t="s">
        <v>25</v>
      </c>
      <c r="E15" s="15">
        <v>86</v>
      </c>
      <c r="F15" s="15"/>
      <c r="G15" s="15">
        <f>E15-F15</f>
        <v>86</v>
      </c>
    </row>
    <row r="16" spans="1:8" s="14" customFormat="1" ht="30">
      <c r="A16" s="13">
        <v>41725</v>
      </c>
      <c r="B16" s="14" t="s">
        <v>5</v>
      </c>
      <c r="C16" s="14" t="s">
        <v>33</v>
      </c>
      <c r="D16" s="19" t="s">
        <v>20</v>
      </c>
      <c r="E16" s="15">
        <v>45</v>
      </c>
      <c r="F16" s="15"/>
      <c r="G16" s="15">
        <f>E16-F16</f>
        <v>45</v>
      </c>
    </row>
    <row r="17" spans="1:7" s="14" customFormat="1" ht="30">
      <c r="A17" s="13">
        <v>41726</v>
      </c>
      <c r="B17" s="14" t="s">
        <v>5</v>
      </c>
      <c r="C17" s="14" t="s">
        <v>11</v>
      </c>
      <c r="D17" s="14" t="s">
        <v>25</v>
      </c>
      <c r="E17" s="15">
        <v>334.72</v>
      </c>
      <c r="F17" s="15"/>
      <c r="G17" s="15">
        <f>E17-F17</f>
        <v>334.72</v>
      </c>
    </row>
    <row r="18" spans="1:7" s="14" customFormat="1" ht="30">
      <c r="A18" s="13">
        <v>41730</v>
      </c>
      <c r="B18" s="14" t="s">
        <v>5</v>
      </c>
      <c r="C18" s="14" t="s">
        <v>8</v>
      </c>
      <c r="D18" s="14" t="s">
        <v>25</v>
      </c>
      <c r="E18" s="15">
        <v>460.73</v>
      </c>
      <c r="F18" s="15"/>
      <c r="G18" s="15">
        <f>E18-F18</f>
        <v>460.73</v>
      </c>
    </row>
    <row r="19" spans="1:7" s="14" customFormat="1" ht="30">
      <c r="A19" s="13">
        <v>41731</v>
      </c>
      <c r="B19" s="14" t="s">
        <v>5</v>
      </c>
      <c r="C19" s="14" t="s">
        <v>30</v>
      </c>
      <c r="D19" s="14" t="s">
        <v>24</v>
      </c>
      <c r="E19" s="15">
        <f>70+92</f>
        <v>162</v>
      </c>
      <c r="F19" s="15"/>
      <c r="G19" s="15">
        <f>E19-F19</f>
        <v>162</v>
      </c>
    </row>
    <row r="20" spans="1:7" s="14" customFormat="1" ht="30">
      <c r="A20" s="13">
        <v>41731</v>
      </c>
      <c r="B20" s="14" t="s">
        <v>5</v>
      </c>
      <c r="C20" s="14" t="s">
        <v>39</v>
      </c>
      <c r="D20" s="19" t="s">
        <v>24</v>
      </c>
      <c r="E20" s="15">
        <v>109.39</v>
      </c>
      <c r="F20" s="15">
        <v>69.39</v>
      </c>
      <c r="G20" s="15">
        <f>E20-F20</f>
        <v>40</v>
      </c>
    </row>
    <row r="21" spans="1:7" s="14" customFormat="1" ht="30">
      <c r="A21" s="13">
        <v>41750</v>
      </c>
      <c r="B21" s="14" t="s">
        <v>7</v>
      </c>
      <c r="C21" s="14" t="s">
        <v>26</v>
      </c>
      <c r="D21" s="14" t="s">
        <v>24</v>
      </c>
      <c r="E21" s="15">
        <f>76+40</f>
        <v>116</v>
      </c>
      <c r="F21" s="15">
        <v>76</v>
      </c>
      <c r="G21" s="15">
        <f>E21-F21</f>
        <v>40</v>
      </c>
    </row>
    <row r="22" spans="1:7" s="14" customFormat="1" ht="30">
      <c r="A22" s="13">
        <v>41759</v>
      </c>
      <c r="B22" s="14" t="s">
        <v>5</v>
      </c>
      <c r="C22" s="14" t="s">
        <v>19</v>
      </c>
      <c r="D22" s="14" t="s">
        <v>24</v>
      </c>
      <c r="E22" s="15">
        <v>255</v>
      </c>
      <c r="F22" s="15">
        <v>204</v>
      </c>
      <c r="G22" s="15">
        <f>E22-F22</f>
        <v>51</v>
      </c>
    </row>
    <row r="23" spans="1:7" s="14" customFormat="1" ht="30">
      <c r="A23" s="13">
        <v>41760</v>
      </c>
      <c r="B23" s="14" t="s">
        <v>5</v>
      </c>
      <c r="C23" s="14" t="s">
        <v>36</v>
      </c>
      <c r="D23" s="19" t="s">
        <v>38</v>
      </c>
      <c r="E23" s="15">
        <f>46.05+42.26</f>
        <v>88.31</v>
      </c>
      <c r="F23" s="15">
        <v>42.26</v>
      </c>
      <c r="G23" s="15">
        <f>E23-F23</f>
        <v>46.050000000000004</v>
      </c>
    </row>
    <row r="24" spans="1:7" s="14" customFormat="1" ht="30">
      <c r="A24" s="13">
        <v>41780</v>
      </c>
      <c r="B24" s="14" t="s">
        <v>5</v>
      </c>
      <c r="C24" s="14" t="s">
        <v>17</v>
      </c>
      <c r="D24" s="14" t="s">
        <v>25</v>
      </c>
      <c r="E24" s="15">
        <v>112</v>
      </c>
      <c r="F24" s="15"/>
      <c r="G24" s="15">
        <f>E24-F24</f>
        <v>112</v>
      </c>
    </row>
    <row r="25" spans="1:7" s="14" customFormat="1" ht="30">
      <c r="A25" s="13">
        <v>41780</v>
      </c>
      <c r="B25" s="14" t="s">
        <v>5</v>
      </c>
      <c r="C25" s="14" t="s">
        <v>29</v>
      </c>
      <c r="D25" s="14" t="s">
        <v>25</v>
      </c>
      <c r="E25" s="15">
        <f>9.99+7.99+8.29</f>
        <v>26.27</v>
      </c>
      <c r="F25" s="15"/>
      <c r="G25" s="15">
        <f>E25-F25</f>
        <v>26.27</v>
      </c>
    </row>
    <row r="26" spans="1:7" s="14" customFormat="1" ht="30">
      <c r="A26" s="18">
        <v>41789</v>
      </c>
      <c r="B26" s="14" t="s">
        <v>5</v>
      </c>
      <c r="C26" s="13" t="s">
        <v>8</v>
      </c>
      <c r="D26" s="14" t="s">
        <v>25</v>
      </c>
      <c r="E26" s="15">
        <v>473.26</v>
      </c>
      <c r="F26" s="15"/>
      <c r="G26" s="15">
        <f>E26-F26</f>
        <v>473.26</v>
      </c>
    </row>
    <row r="27" spans="1:7" s="14" customFormat="1">
      <c r="A27" s="13">
        <v>41789</v>
      </c>
      <c r="B27" s="14" t="s">
        <v>5</v>
      </c>
      <c r="C27" s="14" t="s">
        <v>8</v>
      </c>
      <c r="D27" s="14" t="s">
        <v>25</v>
      </c>
      <c r="E27" s="15">
        <v>473.26</v>
      </c>
      <c r="F27" s="15"/>
      <c r="G27" s="15">
        <f>E27-F27</f>
        <v>473.26</v>
      </c>
    </row>
    <row r="28" spans="1:7" s="14" customFormat="1" ht="30">
      <c r="A28" s="13">
        <v>41811</v>
      </c>
      <c r="B28" s="14" t="s">
        <v>5</v>
      </c>
      <c r="C28" s="14" t="s">
        <v>17</v>
      </c>
      <c r="D28" s="14" t="s">
        <v>25</v>
      </c>
      <c r="E28" s="15">
        <v>112</v>
      </c>
      <c r="F28" s="15"/>
      <c r="G28" s="15">
        <f>E28-F28</f>
        <v>112</v>
      </c>
    </row>
    <row r="29" spans="1:7" s="14" customFormat="1" ht="30">
      <c r="A29" s="13">
        <v>41817</v>
      </c>
      <c r="B29" s="14" t="s">
        <v>5</v>
      </c>
      <c r="C29" s="14" t="s">
        <v>37</v>
      </c>
      <c r="D29" s="19" t="s">
        <v>38</v>
      </c>
      <c r="E29" s="15">
        <f>47.06+43.18+58.05</f>
        <v>148.29000000000002</v>
      </c>
      <c r="F29" s="15">
        <f>7.41+41.02</f>
        <v>48.430000000000007</v>
      </c>
      <c r="G29" s="15">
        <f>E29-F29</f>
        <v>99.860000000000014</v>
      </c>
    </row>
    <row r="30" spans="1:7" s="14" customFormat="1">
      <c r="A30" s="13">
        <v>41820</v>
      </c>
      <c r="B30" s="14" t="s">
        <v>5</v>
      </c>
      <c r="C30" s="14" t="s">
        <v>19</v>
      </c>
      <c r="D30" s="14" t="s">
        <v>24</v>
      </c>
      <c r="E30" s="15">
        <v>255</v>
      </c>
      <c r="F30" s="15">
        <v>0</v>
      </c>
      <c r="G30" s="15">
        <f>E30-F30</f>
        <v>255</v>
      </c>
    </row>
    <row r="31" spans="1:7" s="14" customFormat="1" ht="30">
      <c r="A31" s="13">
        <v>41820</v>
      </c>
      <c r="B31" s="14" t="s">
        <v>5</v>
      </c>
      <c r="C31" s="14" t="s">
        <v>11</v>
      </c>
      <c r="D31" s="14" t="s">
        <v>25</v>
      </c>
      <c r="E31" s="15">
        <f>781.45-255</f>
        <v>526.45000000000005</v>
      </c>
      <c r="F31" s="15"/>
      <c r="G31" s="15">
        <f>E31-F31</f>
        <v>526.45000000000005</v>
      </c>
    </row>
    <row r="32" spans="1:7" s="14" customFormat="1">
      <c r="A32" s="13">
        <v>41820</v>
      </c>
      <c r="B32" s="14" t="s">
        <v>5</v>
      </c>
      <c r="C32" s="14" t="s">
        <v>19</v>
      </c>
      <c r="D32" s="14" t="s">
        <v>24</v>
      </c>
      <c r="E32" s="15">
        <v>255</v>
      </c>
      <c r="F32" s="15"/>
      <c r="G32" s="15">
        <f>E32-F32</f>
        <v>255</v>
      </c>
    </row>
    <row r="33" spans="1:7" s="14" customFormat="1" ht="30">
      <c r="A33" s="13">
        <v>41820</v>
      </c>
      <c r="B33" s="14" t="s">
        <v>5</v>
      </c>
      <c r="C33" s="14" t="s">
        <v>34</v>
      </c>
      <c r="D33" s="19" t="s">
        <v>38</v>
      </c>
      <c r="E33" s="15">
        <v>133.04</v>
      </c>
      <c r="F33" s="15">
        <v>107.65</v>
      </c>
      <c r="G33" s="15">
        <f>E33-F33</f>
        <v>25.389999999999986</v>
      </c>
    </row>
    <row r="34" spans="1:7" s="14" customFormat="1">
      <c r="A34" s="13">
        <v>41838</v>
      </c>
      <c r="B34" s="14" t="s">
        <v>5</v>
      </c>
      <c r="C34" s="14" t="s">
        <v>17</v>
      </c>
      <c r="D34" s="14" t="s">
        <v>25</v>
      </c>
      <c r="E34" s="15">
        <v>112</v>
      </c>
      <c r="F34" s="15"/>
      <c r="G34" s="15">
        <f>E34-F34</f>
        <v>112</v>
      </c>
    </row>
    <row r="35" spans="1:7" s="14" customFormat="1" ht="30">
      <c r="A35" s="13">
        <v>41851</v>
      </c>
      <c r="B35" s="14" t="s">
        <v>5</v>
      </c>
      <c r="C35" s="14" t="s">
        <v>11</v>
      </c>
      <c r="D35" s="14" t="s">
        <v>25</v>
      </c>
      <c r="E35" s="14">
        <v>367.17</v>
      </c>
      <c r="F35" s="15"/>
      <c r="G35" s="15">
        <f>E35-F35</f>
        <v>367.17</v>
      </c>
    </row>
    <row r="36" spans="1:7" s="14" customFormat="1">
      <c r="A36" s="13">
        <v>41865</v>
      </c>
      <c r="B36" s="14" t="s">
        <v>5</v>
      </c>
      <c r="C36" s="14" t="s">
        <v>36</v>
      </c>
      <c r="D36" s="19" t="s">
        <v>38</v>
      </c>
      <c r="E36" s="15">
        <v>1235.69</v>
      </c>
      <c r="F36" s="15">
        <v>11.39</v>
      </c>
      <c r="G36" s="15">
        <f>E36-F36</f>
        <v>1224.3</v>
      </c>
    </row>
    <row r="37" spans="1:7" s="14" customFormat="1" ht="30">
      <c r="A37" s="13">
        <v>41867</v>
      </c>
      <c r="B37" s="14" t="s">
        <v>5</v>
      </c>
      <c r="C37" s="14" t="s">
        <v>17</v>
      </c>
      <c r="D37" s="14" t="s">
        <v>25</v>
      </c>
      <c r="E37" s="15">
        <v>110</v>
      </c>
      <c r="F37" s="15"/>
      <c r="G37" s="15">
        <f>E37-F37</f>
        <v>110</v>
      </c>
    </row>
    <row r="38" spans="1:7" s="14" customFormat="1" ht="30">
      <c r="A38" s="13">
        <v>41869</v>
      </c>
      <c r="B38" s="14" t="s">
        <v>6</v>
      </c>
      <c r="C38" s="14" t="s">
        <v>36</v>
      </c>
      <c r="D38" s="19" t="s">
        <v>24</v>
      </c>
      <c r="E38" s="15">
        <f>722.25+450</f>
        <v>1172.25</v>
      </c>
      <c r="F38" s="15"/>
      <c r="G38" s="15">
        <f>E38-F38</f>
        <v>1172.25</v>
      </c>
    </row>
    <row r="39" spans="1:7" s="14" customFormat="1" ht="30">
      <c r="A39" s="13">
        <v>41871</v>
      </c>
      <c r="B39" s="14" t="s">
        <v>6</v>
      </c>
      <c r="C39" s="14" t="s">
        <v>27</v>
      </c>
      <c r="D39" s="14" t="s">
        <v>28</v>
      </c>
      <c r="E39" s="15">
        <f>27.59+11.99+4.79</f>
        <v>44.37</v>
      </c>
      <c r="F39" s="15">
        <f>E39-(15+11.99+4.79)</f>
        <v>12.589999999999996</v>
      </c>
      <c r="G39" s="15">
        <f>E39-F39</f>
        <v>31.78</v>
      </c>
    </row>
    <row r="40" spans="1:7" s="14" customFormat="1">
      <c r="A40" s="13">
        <v>41875</v>
      </c>
      <c r="B40" s="14" t="s">
        <v>7</v>
      </c>
      <c r="C40" s="14" t="s">
        <v>26</v>
      </c>
      <c r="D40" s="14" t="s">
        <v>25</v>
      </c>
      <c r="E40" s="15">
        <v>62.48</v>
      </c>
      <c r="F40" s="15"/>
      <c r="G40" s="15">
        <f>E40-F40</f>
        <v>62.48</v>
      </c>
    </row>
    <row r="41" spans="1:7" s="14" customFormat="1" ht="30">
      <c r="A41" s="13">
        <v>41876</v>
      </c>
      <c r="B41" s="14" t="s">
        <v>5</v>
      </c>
      <c r="C41" s="14" t="s">
        <v>19</v>
      </c>
      <c r="D41" s="14" t="s">
        <v>24</v>
      </c>
      <c r="E41" s="15">
        <v>255</v>
      </c>
      <c r="F41" s="15"/>
      <c r="G41" s="15">
        <f>E41-F41</f>
        <v>255</v>
      </c>
    </row>
    <row r="42" spans="1:7" s="14" customFormat="1" ht="30">
      <c r="A42" s="13">
        <v>41876</v>
      </c>
      <c r="B42" s="14" t="s">
        <v>5</v>
      </c>
      <c r="C42" s="14" t="s">
        <v>11</v>
      </c>
      <c r="D42" s="14" t="s">
        <v>25</v>
      </c>
      <c r="E42" s="15">
        <f>597.71-255</f>
        <v>342.71000000000004</v>
      </c>
      <c r="F42" s="15"/>
      <c r="G42" s="15">
        <f>E42-F42</f>
        <v>342.71000000000004</v>
      </c>
    </row>
    <row r="43" spans="1:7" s="14" customFormat="1">
      <c r="A43" s="13">
        <v>41876</v>
      </c>
      <c r="B43" s="14" t="s">
        <v>5</v>
      </c>
      <c r="C43" s="14" t="s">
        <v>19</v>
      </c>
      <c r="D43" s="19" t="s">
        <v>24</v>
      </c>
      <c r="E43" s="15">
        <v>255</v>
      </c>
      <c r="F43" s="15">
        <v>131.46</v>
      </c>
      <c r="G43" s="15">
        <f>E43-F43</f>
        <v>123.53999999999999</v>
      </c>
    </row>
    <row r="44" spans="1:7" s="14" customFormat="1">
      <c r="A44" s="13">
        <v>41877</v>
      </c>
      <c r="B44" s="14" t="s">
        <v>6</v>
      </c>
      <c r="C44" s="14" t="s">
        <v>36</v>
      </c>
      <c r="D44" s="19" t="s">
        <v>24</v>
      </c>
      <c r="E44" s="15">
        <v>197.44</v>
      </c>
      <c r="F44" s="15"/>
      <c r="G44" s="15">
        <f>E44-F44</f>
        <v>197.44</v>
      </c>
    </row>
    <row r="45" spans="1:7" s="14" customFormat="1">
      <c r="A45" s="13">
        <v>41906</v>
      </c>
      <c r="B45" s="14" t="s">
        <v>7</v>
      </c>
      <c r="C45" s="14" t="s">
        <v>26</v>
      </c>
      <c r="D45" s="19" t="s">
        <v>24</v>
      </c>
      <c r="E45" s="15">
        <v>210</v>
      </c>
      <c r="F45" s="15">
        <f>87.17+82.83+4</f>
        <v>174</v>
      </c>
      <c r="G45" s="15">
        <f>E45-F45</f>
        <v>36</v>
      </c>
    </row>
    <row r="46" spans="1:7" s="14" customFormat="1">
      <c r="A46" s="13">
        <v>41913</v>
      </c>
      <c r="B46" s="14" t="s">
        <v>5</v>
      </c>
      <c r="C46" s="14" t="s">
        <v>11</v>
      </c>
      <c r="D46" s="19" t="s">
        <v>25</v>
      </c>
      <c r="E46" s="15">
        <v>348.63</v>
      </c>
      <c r="F46" s="15"/>
      <c r="G46" s="15">
        <f>E46-F46</f>
        <v>348.63</v>
      </c>
    </row>
    <row r="47" spans="1:7" s="14" customFormat="1" ht="30">
      <c r="A47" s="13">
        <v>41922</v>
      </c>
      <c r="B47" s="14" t="s">
        <v>5</v>
      </c>
      <c r="C47" s="14" t="s">
        <v>8</v>
      </c>
      <c r="D47" s="14" t="s">
        <v>25</v>
      </c>
      <c r="E47" s="15">
        <v>204.67</v>
      </c>
      <c r="F47" s="15"/>
      <c r="G47" s="15">
        <f>E47-F47</f>
        <v>204.67</v>
      </c>
    </row>
    <row r="48" spans="1:7" s="14" customFormat="1">
      <c r="A48" s="13">
        <v>41929</v>
      </c>
      <c r="B48" s="14" t="s">
        <v>5</v>
      </c>
      <c r="C48" s="14" t="s">
        <v>32</v>
      </c>
      <c r="D48" s="19" t="s">
        <v>24</v>
      </c>
      <c r="E48" s="15">
        <v>159</v>
      </c>
      <c r="F48" s="15">
        <v>52</v>
      </c>
      <c r="G48" s="15">
        <f>E48-F48</f>
        <v>107</v>
      </c>
    </row>
    <row r="49" spans="1:10" s="14" customFormat="1">
      <c r="A49" s="13">
        <v>41933</v>
      </c>
      <c r="B49" s="14" t="s">
        <v>5</v>
      </c>
      <c r="C49" s="14" t="s">
        <v>19</v>
      </c>
      <c r="D49" s="14" t="s">
        <v>24</v>
      </c>
      <c r="E49" s="15">
        <v>255</v>
      </c>
      <c r="F49" s="15">
        <v>230</v>
      </c>
      <c r="G49" s="15">
        <f>E49-F49</f>
        <v>25</v>
      </c>
    </row>
    <row r="50" spans="1:10" s="14" customFormat="1">
      <c r="A50" s="13">
        <v>41933</v>
      </c>
      <c r="B50" s="14" t="s">
        <v>5</v>
      </c>
      <c r="C50" s="14" t="s">
        <v>11</v>
      </c>
      <c r="D50" s="19" t="s">
        <v>25</v>
      </c>
      <c r="E50" s="15">
        <f>446.6-255</f>
        <v>191.60000000000002</v>
      </c>
      <c r="F50" s="15"/>
      <c r="G50" s="15">
        <f>E50-F50</f>
        <v>191.60000000000002</v>
      </c>
    </row>
    <row r="51" spans="1:10" s="14" customFormat="1">
      <c r="A51" s="13">
        <v>41933</v>
      </c>
      <c r="B51" s="14" t="s">
        <v>5</v>
      </c>
      <c r="C51" s="14" t="s">
        <v>34</v>
      </c>
      <c r="D51" s="19" t="s">
        <v>38</v>
      </c>
      <c r="E51" s="15">
        <v>103.14</v>
      </c>
      <c r="F51" s="15">
        <v>9.5500000000000007</v>
      </c>
      <c r="G51" s="15">
        <f>E51-F51</f>
        <v>93.59</v>
      </c>
    </row>
    <row r="52" spans="1:10" s="14" customFormat="1">
      <c r="A52" s="13">
        <v>41933</v>
      </c>
      <c r="B52" s="14" t="s">
        <v>5</v>
      </c>
      <c r="C52" s="14" t="s">
        <v>34</v>
      </c>
      <c r="D52" s="19" t="s">
        <v>35</v>
      </c>
      <c r="E52" s="15">
        <v>133.04</v>
      </c>
      <c r="F52" s="15"/>
      <c r="G52" s="15">
        <f>E52-F52</f>
        <v>133.04</v>
      </c>
    </row>
    <row r="53" spans="1:10" s="14" customFormat="1">
      <c r="A53" s="13">
        <v>41933</v>
      </c>
      <c r="B53" s="14" t="s">
        <v>6</v>
      </c>
      <c r="C53" s="14" t="s">
        <v>36</v>
      </c>
      <c r="D53" s="19" t="s">
        <v>24</v>
      </c>
      <c r="E53" s="15">
        <v>203.36</v>
      </c>
      <c r="F53" s="15"/>
      <c r="G53" s="15">
        <f>E53-F53</f>
        <v>203.36</v>
      </c>
    </row>
    <row r="54" spans="1:10" s="14" customFormat="1">
      <c r="A54" s="13">
        <v>41935</v>
      </c>
      <c r="B54" s="14" t="s">
        <v>7</v>
      </c>
      <c r="C54" s="14" t="s">
        <v>26</v>
      </c>
      <c r="D54" s="14" t="s">
        <v>25</v>
      </c>
      <c r="E54" s="15">
        <v>126.65</v>
      </c>
      <c r="F54" s="15"/>
      <c r="G54" s="15">
        <f>E54-F54</f>
        <v>126.65</v>
      </c>
    </row>
    <row r="55" spans="1:10" s="14" customFormat="1">
      <c r="A55" s="13">
        <v>41936</v>
      </c>
      <c r="B55" s="14" t="s">
        <v>5</v>
      </c>
      <c r="C55" s="14" t="s">
        <v>36</v>
      </c>
      <c r="D55" s="19" t="s">
        <v>24</v>
      </c>
      <c r="E55" s="15">
        <v>56.56</v>
      </c>
      <c r="F55" s="15"/>
      <c r="G55" s="15">
        <f>E55-F55</f>
        <v>56.56</v>
      </c>
    </row>
    <row r="56" spans="1:10" s="14" customFormat="1">
      <c r="A56" s="13">
        <v>41977</v>
      </c>
      <c r="B56" s="14" t="s">
        <v>5</v>
      </c>
      <c r="C56" s="14" t="s">
        <v>8</v>
      </c>
      <c r="D56" s="19" t="s">
        <v>25</v>
      </c>
      <c r="E56" s="15">
        <v>142.66</v>
      </c>
      <c r="F56" s="15"/>
      <c r="G56" s="15">
        <f>E56-F56</f>
        <v>142.66</v>
      </c>
    </row>
    <row r="57" spans="1:10" s="14" customFormat="1">
      <c r="A57" s="13">
        <v>41989</v>
      </c>
      <c r="B57" s="14" t="s">
        <v>5</v>
      </c>
      <c r="C57" s="14" t="s">
        <v>19</v>
      </c>
      <c r="D57" s="19" t="s">
        <v>24</v>
      </c>
      <c r="E57" s="15">
        <v>275</v>
      </c>
      <c r="F57" s="15"/>
      <c r="G57" s="15">
        <f>E57-F57</f>
        <v>275</v>
      </c>
    </row>
    <row r="58" spans="1:10" s="14" customFormat="1">
      <c r="A58" s="13">
        <v>41991</v>
      </c>
      <c r="B58" s="14" t="s">
        <v>5</v>
      </c>
      <c r="C58" s="14" t="s">
        <v>17</v>
      </c>
      <c r="D58" s="14" t="s">
        <v>25</v>
      </c>
      <c r="E58" s="15">
        <v>40</v>
      </c>
      <c r="F58" s="15"/>
      <c r="G58" s="15">
        <f>E58-F58</f>
        <v>40</v>
      </c>
    </row>
    <row r="59" spans="1:10" s="14" customFormat="1">
      <c r="A59" s="13">
        <v>42046</v>
      </c>
      <c r="B59" s="14" t="s">
        <v>5</v>
      </c>
      <c r="C59" s="14" t="s">
        <v>30</v>
      </c>
      <c r="D59" s="14" t="s">
        <v>24</v>
      </c>
      <c r="E59" s="15">
        <v>320.95</v>
      </c>
      <c r="F59" s="15"/>
      <c r="G59" s="15">
        <f>E59-F59</f>
        <v>320.95</v>
      </c>
    </row>
    <row r="60" spans="1:10" s="14" customFormat="1">
      <c r="A60" s="13">
        <v>42091</v>
      </c>
      <c r="B60" s="14" t="s">
        <v>5</v>
      </c>
      <c r="C60" s="14" t="s">
        <v>31</v>
      </c>
      <c r="D60" s="19" t="s">
        <v>24</v>
      </c>
      <c r="E60" s="15">
        <v>86.67</v>
      </c>
      <c r="F60" s="15">
        <v>61.67</v>
      </c>
      <c r="G60" s="15">
        <f>E60-F60</f>
        <v>25</v>
      </c>
    </row>
    <row r="61" spans="1:10" s="14" customFormat="1">
      <c r="A61" s="13">
        <v>42209</v>
      </c>
      <c r="B61" s="14" t="s">
        <v>5</v>
      </c>
      <c r="C61" s="14" t="s">
        <v>36</v>
      </c>
      <c r="D61" s="19" t="s">
        <v>38</v>
      </c>
      <c r="E61" s="15">
        <f>55.85+41.02</f>
        <v>96.87</v>
      </c>
      <c r="F61" s="15">
        <v>41.02</v>
      </c>
      <c r="G61" s="15">
        <f>E61-F61</f>
        <v>55.85</v>
      </c>
    </row>
    <row r="62" spans="1:10" s="14" customFormat="1">
      <c r="A62" s="13">
        <v>42234</v>
      </c>
      <c r="B62" s="14" t="s">
        <v>5</v>
      </c>
      <c r="C62" s="14" t="s">
        <v>31</v>
      </c>
      <c r="D62" s="19" t="s">
        <v>24</v>
      </c>
      <c r="E62" s="15">
        <v>87.56</v>
      </c>
      <c r="F62" s="15">
        <v>62.56</v>
      </c>
      <c r="G62" s="15">
        <f>E62-F62</f>
        <v>25</v>
      </c>
    </row>
    <row r="63" spans="1:10" s="14" customFormat="1">
      <c r="A63" s="13">
        <v>42294</v>
      </c>
      <c r="B63" s="14" t="s">
        <v>5</v>
      </c>
      <c r="C63" s="14" t="s">
        <v>31</v>
      </c>
      <c r="D63" s="19" t="s">
        <v>24</v>
      </c>
      <c r="E63" s="15">
        <v>45</v>
      </c>
      <c r="F63" s="15"/>
      <c r="G63" s="15">
        <f>E63-F63</f>
        <v>45</v>
      </c>
    </row>
    <row r="64" spans="1:10" s="14" customFormat="1" ht="45">
      <c r="A64" s="13" t="s">
        <v>40</v>
      </c>
      <c r="B64" s="14" t="s">
        <v>6</v>
      </c>
      <c r="C64" s="14" t="s">
        <v>41</v>
      </c>
      <c r="D64" s="19" t="s">
        <v>24</v>
      </c>
      <c r="E64" s="15">
        <f>6*65</f>
        <v>390</v>
      </c>
      <c r="F64" s="15"/>
      <c r="G64" s="15">
        <f>E64-F64</f>
        <v>390</v>
      </c>
      <c r="I64" s="14" t="s">
        <v>42</v>
      </c>
      <c r="J64" s="14" t="s">
        <v>43</v>
      </c>
    </row>
    <row r="65" spans="1:9" s="14" customFormat="1">
      <c r="A65" s="13">
        <v>42004</v>
      </c>
      <c r="B65" s="14" t="s">
        <v>5</v>
      </c>
      <c r="C65" s="14" t="s">
        <v>44</v>
      </c>
      <c r="D65" s="19" t="s">
        <v>45</v>
      </c>
      <c r="E65" s="15">
        <v>3233.51</v>
      </c>
      <c r="F65" s="15">
        <f>E65-879.95</f>
        <v>2353.5600000000004</v>
      </c>
      <c r="G65" s="15">
        <f t="shared" ref="G6:G68" si="0">E65-F65</f>
        <v>879.94999999999982</v>
      </c>
    </row>
    <row r="66" spans="1:9" s="14" customFormat="1">
      <c r="A66" s="13">
        <v>42004</v>
      </c>
      <c r="B66" s="14" t="s">
        <v>6</v>
      </c>
      <c r="C66" s="14" t="s">
        <v>44</v>
      </c>
      <c r="D66" s="19" t="s">
        <v>45</v>
      </c>
      <c r="E66" s="15">
        <v>379.84</v>
      </c>
      <c r="F66" s="15">
        <f>E66-211.18</f>
        <v>168.65999999999997</v>
      </c>
      <c r="G66" s="15">
        <f t="shared" si="0"/>
        <v>211.18</v>
      </c>
    </row>
    <row r="67" spans="1:9" s="14" customFormat="1">
      <c r="A67" s="13"/>
      <c r="D67" s="19"/>
      <c r="E67" s="15"/>
      <c r="F67" s="15"/>
      <c r="G67" s="15">
        <f t="shared" si="0"/>
        <v>0</v>
      </c>
    </row>
    <row r="68" spans="1:9" s="2" customFormat="1">
      <c r="A68" s="16"/>
      <c r="C68" s="17"/>
      <c r="E68" s="12"/>
      <c r="F68" s="12"/>
      <c r="G68" s="15">
        <f t="shared" si="0"/>
        <v>0</v>
      </c>
    </row>
    <row r="69" spans="1:9">
      <c r="C69" s="10" t="s">
        <v>2</v>
      </c>
      <c r="E69" s="4">
        <f>SUM(E1:E68)</f>
        <v>17714.590000000004</v>
      </c>
      <c r="F69" s="4">
        <f>SUM(F1:F68)</f>
        <v>4637.9400000000005</v>
      </c>
      <c r="G69" s="4">
        <f>SUM(G1:G68)</f>
        <v>13076.650000000001</v>
      </c>
      <c r="I69" s="4">
        <f>E69-F69</f>
        <v>13076.650000000003</v>
      </c>
    </row>
    <row r="71" spans="1:9">
      <c r="C71" s="10" t="s">
        <v>22</v>
      </c>
      <c r="D71" s="4"/>
      <c r="E71" s="4">
        <f>E65+E66+E39</f>
        <v>3657.7200000000003</v>
      </c>
      <c r="F71" s="4">
        <f>F65+F66+F39</f>
        <v>2534.8100000000004</v>
      </c>
      <c r="G71" s="4">
        <f>E71-F71</f>
        <v>1122.9099999999999</v>
      </c>
    </row>
    <row r="72" spans="1:9">
      <c r="C72" s="10" t="s">
        <v>21</v>
      </c>
      <c r="D72" s="4"/>
      <c r="E72" s="4">
        <f>E15+E17+E18+E24+E25+E26+E27+E28+E31+E34+E35+E37+E40+E42+E46+E47+E50+E54+E56+E58</f>
        <v>4653.2599999999993</v>
      </c>
      <c r="F72" s="4">
        <f>F15+F17+F18+F24+F25+F26+F27+F28+F31+F34+F35+F37+F40+F42+F46+F47+F50+F54+F56+F58</f>
        <v>0</v>
      </c>
      <c r="G72" s="4">
        <f>E72-F72</f>
        <v>4653.2599999999993</v>
      </c>
    </row>
    <row r="73" spans="1:9">
      <c r="C73" s="10" t="s">
        <v>15</v>
      </c>
      <c r="E73" s="4">
        <v>0</v>
      </c>
      <c r="F73" s="4">
        <v>0</v>
      </c>
      <c r="G73" s="4">
        <f t="shared" ref="G73:G79" si="1">E73-F73</f>
        <v>0</v>
      </c>
    </row>
    <row r="74" spans="1:9">
      <c r="C74" s="10" t="s">
        <v>18</v>
      </c>
      <c r="E74" s="4">
        <f>E23+E29+E33+E36+E51+E52+E61</f>
        <v>1938.38</v>
      </c>
      <c r="F74" s="4">
        <f>F23+F29+F33+F36+F51+F52+F61</f>
        <v>260.3</v>
      </c>
      <c r="G74" s="4">
        <f t="shared" si="1"/>
        <v>1678.0800000000002</v>
      </c>
    </row>
    <row r="75" spans="1:9">
      <c r="C75" s="10" t="s">
        <v>20</v>
      </c>
      <c r="E75" s="4">
        <f>E16</f>
        <v>45</v>
      </c>
      <c r="F75" s="4">
        <f>F16</f>
        <v>0</v>
      </c>
      <c r="G75" s="4">
        <f t="shared" si="1"/>
        <v>45</v>
      </c>
    </row>
    <row r="76" spans="1:9">
      <c r="C76" s="10" t="s">
        <v>9</v>
      </c>
      <c r="E76" s="4">
        <v>0</v>
      </c>
      <c r="F76" s="4">
        <v>0</v>
      </c>
      <c r="G76" s="4">
        <f t="shared" si="1"/>
        <v>0</v>
      </c>
    </row>
    <row r="77" spans="1:9">
      <c r="C77" s="10" t="s">
        <v>14</v>
      </c>
      <c r="E77" s="4">
        <f>E69-SUM(E71:E76)</f>
        <v>7420.2300000000032</v>
      </c>
      <c r="F77" s="4">
        <f>F69-SUM(F71:F76)</f>
        <v>1842.83</v>
      </c>
      <c r="G77" s="4">
        <f t="shared" si="1"/>
        <v>5577.4000000000033</v>
      </c>
    </row>
    <row r="78" spans="1:9">
      <c r="G78" s="4">
        <f t="shared" si="1"/>
        <v>0</v>
      </c>
    </row>
    <row r="79" spans="1:9">
      <c r="C79" s="10" t="s">
        <v>2</v>
      </c>
      <c r="E79" s="4">
        <f>SUM(E71:E77)</f>
        <v>17714.590000000004</v>
      </c>
      <c r="F79" s="4">
        <f>SUM(F71:F77)</f>
        <v>4637.9400000000005</v>
      </c>
      <c r="G79" s="4">
        <f t="shared" si="1"/>
        <v>13076.650000000003</v>
      </c>
    </row>
    <row r="81" spans="3:7">
      <c r="C81" s="11" t="s">
        <v>16</v>
      </c>
      <c r="G81" s="4">
        <v>0</v>
      </c>
    </row>
    <row r="82" spans="3:7">
      <c r="D82" t="s">
        <v>23</v>
      </c>
      <c r="E82" s="4">
        <f>E73+E77</f>
        <v>7420.2300000000032</v>
      </c>
    </row>
  </sheetData>
  <sortState ref="A4:G64">
    <sortCondition ref="A4:A64"/>
  </sortState>
  <phoneticPr fontId="4" type="noConversion"/>
  <pageMargins left="0.75" right="0.75" top="1" bottom="1" header="0.5" footer="0.5"/>
  <pageSetup orientation="landscape" horizontalDpi="4294967292" verticalDpi="4294967292"/>
  <ignoredErrors>
    <ignoredError sqref="F69:G69" emptyCellReference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Clozure Associates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St Clair</dc:creator>
  <cp:keywords/>
  <dc:description/>
  <cp:lastModifiedBy>Bill St Clair</cp:lastModifiedBy>
  <cp:lastPrinted>2013-11-05T21:22:43Z</cp:lastPrinted>
  <dcterms:created xsi:type="dcterms:W3CDTF">2013-07-27T13:26:03Z</dcterms:created>
  <dcterms:modified xsi:type="dcterms:W3CDTF">2015-10-14T11:46:22Z</dcterms:modified>
  <cp:category/>
</cp:coreProperties>
</file>