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60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illstclair/stuff/Taxes 2015/"/>
    </mc:Choice>
  </mc:AlternateContent>
  <bookViews>
    <workbookView xWindow="0" yWindow="460" windowWidth="27860" windowHeight="22660" tabRatio="50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1" l="1"/>
  <c r="E17" i="1"/>
  <c r="F16" i="1"/>
  <c r="F15" i="1"/>
  <c r="F14" i="1"/>
  <c r="F13" i="1"/>
  <c r="F7" i="1"/>
  <c r="F75" i="1"/>
  <c r="E75" i="1"/>
  <c r="E69" i="1"/>
  <c r="E71" i="1"/>
  <c r="E72" i="1"/>
  <c r="E74" i="1"/>
  <c r="E77" i="1"/>
  <c r="E82" i="1"/>
  <c r="F69" i="1"/>
  <c r="I6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F74" i="1"/>
  <c r="F72" i="1"/>
  <c r="F71" i="1"/>
  <c r="G72" i="1"/>
  <c r="G73" i="1"/>
  <c r="G74" i="1"/>
  <c r="G75" i="1"/>
  <c r="G76" i="1"/>
  <c r="F77" i="1"/>
  <c r="G77" i="1"/>
  <c r="G78" i="1"/>
  <c r="E79" i="1"/>
  <c r="F79" i="1"/>
  <c r="G79" i="1"/>
  <c r="G71" i="1"/>
</calcChain>
</file>

<file path=xl/sharedStrings.xml><?xml version="1.0" encoding="utf-8"?>
<sst xmlns="http://schemas.openxmlformats.org/spreadsheetml/2006/main" count="80" uniqueCount="41">
  <si>
    <t>Date</t>
  </si>
  <si>
    <t>Patient</t>
  </si>
  <si>
    <t>Total</t>
  </si>
  <si>
    <t>Net</t>
  </si>
  <si>
    <t>Paid by Insurance</t>
  </si>
  <si>
    <t>Victoria</t>
  </si>
  <si>
    <t>Bill</t>
  </si>
  <si>
    <t>Karla</t>
  </si>
  <si>
    <t>Vitacost</t>
  </si>
  <si>
    <t>Lodging</t>
  </si>
  <si>
    <t>Origins of Health</t>
  </si>
  <si>
    <t>Provider</t>
  </si>
  <si>
    <t>Type of Expense</t>
  </si>
  <si>
    <t>Medical Expense</t>
  </si>
  <si>
    <t>Dental</t>
  </si>
  <si>
    <t>Travel Miles</t>
  </si>
  <si>
    <t>Jean's Greens</t>
  </si>
  <si>
    <t>Testing</t>
  </si>
  <si>
    <t>Thomas A. Moorcroft</t>
  </si>
  <si>
    <t>Physical Therapy</t>
  </si>
  <si>
    <t>Supplement</t>
  </si>
  <si>
    <t>Prescription</t>
  </si>
  <si>
    <t>Medical &amp; Dental</t>
  </si>
  <si>
    <t>Guido's</t>
  </si>
  <si>
    <t>Melanie Levitan</t>
  </si>
  <si>
    <t>Need to call them about this</t>
  </si>
  <si>
    <t>It's more, but I don't know how much, or when</t>
  </si>
  <si>
    <t>2015 Medical Expenses</t>
  </si>
  <si>
    <t>Probiotics</t>
  </si>
  <si>
    <t>CVS</t>
  </si>
  <si>
    <t>Prescription Drugs</t>
  </si>
  <si>
    <t>Herbs</t>
  </si>
  <si>
    <t>Doctor Visit</t>
  </si>
  <si>
    <t>Medication</t>
  </si>
  <si>
    <t>Spice 'N Nice</t>
  </si>
  <si>
    <t>Christopher paid for this</t>
  </si>
  <si>
    <t>Advanced Berkshire Medical Imaging</t>
  </si>
  <si>
    <t>X-Rays</t>
  </si>
  <si>
    <t>SVMC</t>
  </si>
  <si>
    <t>Injections</t>
  </si>
  <si>
    <t>Northampton Wellness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</si>
</sst>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Font="1"/>
    <xf numFmtId="164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2" fontId="0" fillId="0" borderId="0" xfId="0" applyNumberFormat="1" applyFont="1" applyAlignment="1">
      <alignment horizontal="center" wrapText="1"/>
    </xf>
    <xf numFmtId="164" fontId="0" fillId="0" borderId="0" xfId="0" applyNumberFormat="1" applyFont="1" applyAlignment="1">
      <alignment horizontal="left"/>
    </xf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horizontal="center" wrapText="1"/>
    </xf>
    <xf numFmtId="16" fontId="0" fillId="0" borderId="0" xfId="0" applyNumberFormat="1" applyFont="1" applyAlignment="1">
      <alignment horizontal="center" wrapText="1"/>
    </xf>
  </cellXfs>
  <cellStyles count="1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zoomScale="150" zoomScaleNormal="150" zoomScalePageLayoutView="150" workbookViewId="0">
      <pane ySplit="3" topLeftCell="A38" activePane="bottomLeft" state="frozen"/>
      <selection pane="bottomLeft" activeCell="F18" sqref="F18:G32"/>
    </sheetView>
  </sheetViews>
  <sheetFormatPr baseColWidth="10" defaultRowHeight="16" x14ac:dyDescent="0.2"/>
  <cols>
    <col min="1" max="1" width="9.83203125" style="6" customWidth="1"/>
    <col min="2" max="2" width="12.1640625" style="2" customWidth="1"/>
    <col min="3" max="3" width="30.6640625" style="11" customWidth="1"/>
    <col min="4" max="4" width="18" customWidth="1"/>
    <col min="5" max="5" width="10.33203125" style="4" customWidth="1"/>
    <col min="6" max="6" width="10" style="4" customWidth="1"/>
    <col min="7" max="7" width="12.83203125" style="4" customWidth="1"/>
    <col min="8" max="8" width="6.5" customWidth="1"/>
    <col min="10" max="10" width="21.6640625" customWidth="1"/>
  </cols>
  <sheetData>
    <row r="1" spans="1:9" s="1" customFormat="1" x14ac:dyDescent="0.2">
      <c r="A1" s="5" t="s">
        <v>27</v>
      </c>
      <c r="C1" s="10"/>
      <c r="E1" s="3"/>
      <c r="F1" s="3"/>
      <c r="G1" s="3"/>
    </row>
    <row r="3" spans="1:9" s="8" customFormat="1" ht="32" x14ac:dyDescent="0.2">
      <c r="A3" s="7" t="s">
        <v>0</v>
      </c>
      <c r="B3" s="8" t="s">
        <v>1</v>
      </c>
      <c r="C3" s="8" t="s">
        <v>11</v>
      </c>
      <c r="D3" s="8" t="s">
        <v>12</v>
      </c>
      <c r="E3" s="9" t="s">
        <v>2</v>
      </c>
      <c r="F3" s="9" t="s">
        <v>4</v>
      </c>
      <c r="G3" s="9" t="s">
        <v>3</v>
      </c>
      <c r="H3" s="8" t="s">
        <v>15</v>
      </c>
    </row>
    <row r="4" spans="1:9" s="14" customFormat="1" x14ac:dyDescent="0.2">
      <c r="A4" s="13">
        <v>42340</v>
      </c>
      <c r="B4" s="14" t="s">
        <v>5</v>
      </c>
      <c r="C4" s="14" t="s">
        <v>23</v>
      </c>
      <c r="D4" s="19" t="s">
        <v>28</v>
      </c>
      <c r="E4" s="15">
        <v>49.99</v>
      </c>
      <c r="F4" s="15"/>
      <c r="G4" s="15">
        <f t="shared" ref="G4:G35" si="0">E4-F4</f>
        <v>49.99</v>
      </c>
    </row>
    <row r="5" spans="1:9" s="14" customFormat="1" x14ac:dyDescent="0.2">
      <c r="A5" s="13">
        <v>42010</v>
      </c>
      <c r="B5" s="14" t="s">
        <v>7</v>
      </c>
      <c r="C5" s="14" t="s">
        <v>29</v>
      </c>
      <c r="D5" s="14" t="s">
        <v>30</v>
      </c>
      <c r="E5" s="15">
        <v>30</v>
      </c>
      <c r="F5" s="15"/>
      <c r="G5" s="15">
        <f t="shared" si="0"/>
        <v>30</v>
      </c>
    </row>
    <row r="6" spans="1:9" s="14" customFormat="1" x14ac:dyDescent="0.2">
      <c r="A6" s="13">
        <v>42021</v>
      </c>
      <c r="B6" s="14" t="s">
        <v>5</v>
      </c>
      <c r="C6" s="14" t="s">
        <v>16</v>
      </c>
      <c r="D6" s="14" t="s">
        <v>33</v>
      </c>
      <c r="E6" s="15">
        <v>40</v>
      </c>
      <c r="F6" s="15"/>
      <c r="G6" s="15">
        <f t="shared" si="0"/>
        <v>40</v>
      </c>
    </row>
    <row r="7" spans="1:9" s="14" customFormat="1" x14ac:dyDescent="0.2">
      <c r="A7" s="13">
        <v>42013</v>
      </c>
      <c r="B7" s="14" t="s">
        <v>5</v>
      </c>
      <c r="C7" s="14" t="s">
        <v>24</v>
      </c>
      <c r="D7" s="19" t="s">
        <v>32</v>
      </c>
      <c r="E7" s="15">
        <v>175</v>
      </c>
      <c r="F7" s="15">
        <f>87.44+62.56</f>
        <v>150</v>
      </c>
      <c r="G7" s="15">
        <f t="shared" si="0"/>
        <v>25</v>
      </c>
    </row>
    <row r="8" spans="1:9" s="14" customFormat="1" x14ac:dyDescent="0.2">
      <c r="A8" s="13">
        <v>42326</v>
      </c>
      <c r="B8" s="14" t="s">
        <v>5</v>
      </c>
      <c r="C8" s="14" t="s">
        <v>8</v>
      </c>
      <c r="D8" s="14" t="s">
        <v>33</v>
      </c>
      <c r="E8" s="15">
        <v>133.15</v>
      </c>
      <c r="F8" s="15"/>
      <c r="G8" s="15">
        <f t="shared" si="0"/>
        <v>133.15</v>
      </c>
    </row>
    <row r="9" spans="1:9" s="14" customFormat="1" x14ac:dyDescent="0.2">
      <c r="A9" s="13">
        <v>42325</v>
      </c>
      <c r="B9" s="14" t="s">
        <v>5</v>
      </c>
      <c r="C9" s="14" t="s">
        <v>18</v>
      </c>
      <c r="D9" s="19" t="s">
        <v>32</v>
      </c>
      <c r="E9" s="15">
        <v>215</v>
      </c>
      <c r="F9" s="15"/>
      <c r="G9" s="15">
        <f t="shared" si="0"/>
        <v>215</v>
      </c>
    </row>
    <row r="10" spans="1:9" s="14" customFormat="1" x14ac:dyDescent="0.2">
      <c r="A10" s="13">
        <v>42021</v>
      </c>
      <c r="B10" s="14" t="s">
        <v>5</v>
      </c>
      <c r="C10" s="14" t="s">
        <v>10</v>
      </c>
      <c r="D10" s="19" t="s">
        <v>33</v>
      </c>
      <c r="E10" s="15">
        <v>125.95</v>
      </c>
      <c r="F10" s="15"/>
      <c r="G10" s="15">
        <f t="shared" si="0"/>
        <v>125.95</v>
      </c>
    </row>
    <row r="11" spans="1:9" s="14" customFormat="1" x14ac:dyDescent="0.2">
      <c r="A11" s="13">
        <v>42321</v>
      </c>
      <c r="B11" s="14" t="s">
        <v>5</v>
      </c>
      <c r="C11" s="14" t="s">
        <v>34</v>
      </c>
      <c r="D11" s="14" t="s">
        <v>28</v>
      </c>
      <c r="E11" s="15">
        <v>35.99</v>
      </c>
      <c r="F11" s="15"/>
      <c r="G11" s="15">
        <f t="shared" si="0"/>
        <v>35.99</v>
      </c>
    </row>
    <row r="12" spans="1:9" s="14" customFormat="1" x14ac:dyDescent="0.2">
      <c r="A12" s="13">
        <v>42303</v>
      </c>
      <c r="B12" s="14" t="s">
        <v>5</v>
      </c>
      <c r="C12" s="14" t="s">
        <v>24</v>
      </c>
      <c r="D12" s="14" t="s">
        <v>32</v>
      </c>
      <c r="E12" s="15">
        <v>20</v>
      </c>
      <c r="F12" s="15"/>
      <c r="G12" s="15">
        <f t="shared" si="0"/>
        <v>20</v>
      </c>
    </row>
    <row r="13" spans="1:9" s="14" customFormat="1" ht="32" x14ac:dyDescent="0.2">
      <c r="A13" s="13">
        <v>42087</v>
      </c>
      <c r="B13" s="14" t="s">
        <v>6</v>
      </c>
      <c r="C13" s="14" t="s">
        <v>36</v>
      </c>
      <c r="D13" s="19" t="s">
        <v>37</v>
      </c>
      <c r="E13" s="15">
        <v>544</v>
      </c>
      <c r="F13" s="15">
        <f>E13-231.65</f>
        <v>312.35000000000002</v>
      </c>
      <c r="G13" s="15">
        <f t="shared" si="0"/>
        <v>231.64999999999998</v>
      </c>
      <c r="I13" s="14" t="s">
        <v>35</v>
      </c>
    </row>
    <row r="14" spans="1:9" s="14" customFormat="1" x14ac:dyDescent="0.2">
      <c r="A14" s="13">
        <v>42179</v>
      </c>
      <c r="B14" s="19" t="s">
        <v>6</v>
      </c>
      <c r="C14" s="14" t="s">
        <v>38</v>
      </c>
      <c r="D14" s="19" t="s">
        <v>32</v>
      </c>
      <c r="E14" s="15">
        <v>360.25</v>
      </c>
      <c r="F14" s="15">
        <f>E14-25</f>
        <v>335.25</v>
      </c>
      <c r="G14" s="15">
        <f t="shared" si="0"/>
        <v>25</v>
      </c>
    </row>
    <row r="15" spans="1:9" s="14" customFormat="1" x14ac:dyDescent="0.2">
      <c r="A15" s="13">
        <v>42156</v>
      </c>
      <c r="B15" s="14" t="s">
        <v>5</v>
      </c>
      <c r="C15" s="14" t="s">
        <v>24</v>
      </c>
      <c r="D15" s="14" t="s">
        <v>39</v>
      </c>
      <c r="E15" s="15">
        <v>470</v>
      </c>
      <c r="F15" s="15">
        <f>470-88.3</f>
        <v>381.7</v>
      </c>
      <c r="G15" s="15">
        <f t="shared" si="0"/>
        <v>88.300000000000011</v>
      </c>
    </row>
    <row r="16" spans="1:9" s="14" customFormat="1" x14ac:dyDescent="0.2">
      <c r="A16" s="13">
        <v>42013</v>
      </c>
      <c r="B16" s="14" t="s">
        <v>5</v>
      </c>
      <c r="C16" s="14" t="s">
        <v>24</v>
      </c>
      <c r="D16" s="19" t="s">
        <v>32</v>
      </c>
      <c r="E16" s="15">
        <v>175</v>
      </c>
      <c r="F16" s="15">
        <f>175-25</f>
        <v>150</v>
      </c>
      <c r="G16" s="15">
        <f t="shared" si="0"/>
        <v>25</v>
      </c>
    </row>
    <row r="17" spans="1:7" s="14" customFormat="1" x14ac:dyDescent="0.2">
      <c r="A17" s="13">
        <v>42102</v>
      </c>
      <c r="B17" s="14" t="s">
        <v>5</v>
      </c>
      <c r="C17" s="14" t="s">
        <v>24</v>
      </c>
      <c r="D17" s="14" t="s">
        <v>32</v>
      </c>
      <c r="E17" s="15">
        <f>105.34</f>
        <v>105.34</v>
      </c>
      <c r="F17" s="15"/>
      <c r="G17" s="15">
        <f t="shared" si="0"/>
        <v>105.34</v>
      </c>
    </row>
    <row r="18" spans="1:7" s="14" customFormat="1" x14ac:dyDescent="0.2">
      <c r="A18" s="13">
        <v>42257</v>
      </c>
      <c r="B18" s="14" t="s">
        <v>6</v>
      </c>
      <c r="C18" s="14" t="s">
        <v>38</v>
      </c>
      <c r="D18" s="14" t="s">
        <v>32</v>
      </c>
      <c r="E18" s="15">
        <v>120</v>
      </c>
      <c r="F18" s="15">
        <f>120-25</f>
        <v>95</v>
      </c>
      <c r="G18" s="15">
        <f t="shared" si="0"/>
        <v>25</v>
      </c>
    </row>
    <row r="19" spans="1:7" s="14" customFormat="1" x14ac:dyDescent="0.2">
      <c r="A19" s="13">
        <v>42056</v>
      </c>
      <c r="B19" s="14" t="s">
        <v>5</v>
      </c>
      <c r="C19" s="14" t="s">
        <v>16</v>
      </c>
      <c r="D19" s="14" t="s">
        <v>31</v>
      </c>
      <c r="E19" s="15">
        <v>42</v>
      </c>
      <c r="F19" s="15"/>
      <c r="G19" s="15">
        <f t="shared" si="0"/>
        <v>42</v>
      </c>
    </row>
    <row r="20" spans="1:7" s="14" customFormat="1" x14ac:dyDescent="0.2">
      <c r="A20" s="13">
        <v>42010</v>
      </c>
      <c r="B20" s="14" t="s">
        <v>7</v>
      </c>
      <c r="C20" s="18" t="s">
        <v>40</v>
      </c>
      <c r="D20" s="19" t="s">
        <v>33</v>
      </c>
      <c r="E20" s="15">
        <v>147.44</v>
      </c>
      <c r="F20" s="15"/>
      <c r="G20" s="15">
        <f t="shared" si="0"/>
        <v>147.44</v>
      </c>
    </row>
    <row r="21" spans="1:7" s="14" customFormat="1" x14ac:dyDescent="0.2">
      <c r="A21" s="13">
        <v>42009</v>
      </c>
      <c r="B21" s="14" t="s">
        <v>5</v>
      </c>
      <c r="C21" s="14" t="s">
        <v>8</v>
      </c>
      <c r="D21" s="14" t="s">
        <v>33</v>
      </c>
      <c r="E21" s="15">
        <v>192.75</v>
      </c>
      <c r="F21" s="15"/>
      <c r="G21" s="15">
        <f t="shared" si="0"/>
        <v>192.75</v>
      </c>
    </row>
    <row r="22" spans="1:7" s="14" customFormat="1" x14ac:dyDescent="0.2">
      <c r="A22" s="13">
        <v>42174</v>
      </c>
      <c r="B22" s="14" t="s">
        <v>5</v>
      </c>
      <c r="C22" s="14" t="s">
        <v>24</v>
      </c>
      <c r="D22" s="14" t="s">
        <v>39</v>
      </c>
      <c r="E22" s="15">
        <v>200</v>
      </c>
      <c r="F22" s="15"/>
      <c r="G22" s="15">
        <f t="shared" si="0"/>
        <v>200</v>
      </c>
    </row>
    <row r="23" spans="1:7" s="14" customFormat="1" x14ac:dyDescent="0.2">
      <c r="A23" s="13"/>
      <c r="D23" s="19"/>
      <c r="E23" s="15"/>
      <c r="F23" s="15"/>
      <c r="G23" s="15">
        <f t="shared" si="0"/>
        <v>0</v>
      </c>
    </row>
    <row r="24" spans="1:7" s="14" customFormat="1" x14ac:dyDescent="0.2">
      <c r="A24" s="13"/>
      <c r="E24" s="15"/>
      <c r="F24" s="15"/>
      <c r="G24" s="15">
        <f t="shared" si="0"/>
        <v>0</v>
      </c>
    </row>
    <row r="25" spans="1:7" s="14" customFormat="1" x14ac:dyDescent="0.2">
      <c r="A25" s="13"/>
      <c r="E25" s="15"/>
      <c r="F25" s="15"/>
      <c r="G25" s="15">
        <f t="shared" si="0"/>
        <v>0</v>
      </c>
    </row>
    <row r="26" spans="1:7" s="14" customFormat="1" x14ac:dyDescent="0.2">
      <c r="A26" s="18"/>
      <c r="C26" s="13"/>
      <c r="E26" s="15"/>
      <c r="F26" s="15"/>
      <c r="G26" s="15">
        <f t="shared" si="0"/>
        <v>0</v>
      </c>
    </row>
    <row r="27" spans="1:7" s="14" customFormat="1" x14ac:dyDescent="0.2">
      <c r="A27" s="13"/>
      <c r="E27" s="15"/>
      <c r="F27" s="15"/>
      <c r="G27" s="15">
        <f t="shared" si="0"/>
        <v>0</v>
      </c>
    </row>
    <row r="28" spans="1:7" s="14" customFormat="1" x14ac:dyDescent="0.2">
      <c r="A28" s="13"/>
      <c r="E28" s="15"/>
      <c r="F28" s="15"/>
      <c r="G28" s="15">
        <f t="shared" si="0"/>
        <v>0</v>
      </c>
    </row>
    <row r="29" spans="1:7" s="14" customFormat="1" x14ac:dyDescent="0.2">
      <c r="A29" s="13"/>
      <c r="D29" s="19"/>
      <c r="E29" s="15"/>
      <c r="F29" s="15"/>
      <c r="G29" s="15">
        <f t="shared" si="0"/>
        <v>0</v>
      </c>
    </row>
    <row r="30" spans="1:7" s="14" customFormat="1" x14ac:dyDescent="0.2">
      <c r="A30" s="13"/>
      <c r="E30" s="15"/>
      <c r="F30" s="15"/>
      <c r="G30" s="15">
        <f t="shared" si="0"/>
        <v>0</v>
      </c>
    </row>
    <row r="31" spans="1:7" s="14" customFormat="1" x14ac:dyDescent="0.2">
      <c r="A31" s="13"/>
      <c r="E31" s="15"/>
      <c r="F31" s="15"/>
      <c r="G31" s="15">
        <f t="shared" si="0"/>
        <v>0</v>
      </c>
    </row>
    <row r="32" spans="1:7" s="14" customFormat="1" x14ac:dyDescent="0.2">
      <c r="A32" s="13"/>
      <c r="E32" s="15"/>
      <c r="F32" s="15"/>
      <c r="G32" s="15">
        <f t="shared" si="0"/>
        <v>0</v>
      </c>
    </row>
    <row r="33" spans="1:7" s="14" customFormat="1" x14ac:dyDescent="0.2">
      <c r="A33" s="13"/>
      <c r="D33" s="19"/>
      <c r="E33" s="15"/>
      <c r="F33" s="15"/>
      <c r="G33" s="15">
        <f t="shared" si="0"/>
        <v>0</v>
      </c>
    </row>
    <row r="34" spans="1:7" s="14" customFormat="1" x14ac:dyDescent="0.2">
      <c r="A34" s="13"/>
      <c r="E34" s="15"/>
      <c r="F34" s="15"/>
      <c r="G34" s="15">
        <f t="shared" si="0"/>
        <v>0</v>
      </c>
    </row>
    <row r="35" spans="1:7" s="14" customFormat="1" x14ac:dyDescent="0.2">
      <c r="A35" s="13"/>
      <c r="F35" s="15"/>
      <c r="G35" s="15">
        <f t="shared" si="0"/>
        <v>0</v>
      </c>
    </row>
    <row r="36" spans="1:7" s="14" customFormat="1" x14ac:dyDescent="0.2">
      <c r="A36" s="13"/>
      <c r="D36" s="19"/>
      <c r="E36" s="15"/>
      <c r="F36" s="15"/>
      <c r="G36" s="15">
        <f t="shared" ref="G36:G67" si="1">E36-F36</f>
        <v>0</v>
      </c>
    </row>
    <row r="37" spans="1:7" s="14" customFormat="1" x14ac:dyDescent="0.2">
      <c r="A37" s="13"/>
      <c r="E37" s="15"/>
      <c r="F37" s="15"/>
      <c r="G37" s="15">
        <f t="shared" si="1"/>
        <v>0</v>
      </c>
    </row>
    <row r="38" spans="1:7" s="14" customFormat="1" x14ac:dyDescent="0.2">
      <c r="A38" s="13"/>
      <c r="D38" s="19"/>
      <c r="E38" s="15"/>
      <c r="F38" s="15"/>
      <c r="G38" s="15">
        <f t="shared" si="1"/>
        <v>0</v>
      </c>
    </row>
    <row r="39" spans="1:7" s="14" customFormat="1" x14ac:dyDescent="0.2">
      <c r="A39" s="13"/>
      <c r="E39" s="15"/>
      <c r="F39" s="15"/>
      <c r="G39" s="15">
        <f t="shared" si="1"/>
        <v>0</v>
      </c>
    </row>
    <row r="40" spans="1:7" s="14" customFormat="1" x14ac:dyDescent="0.2">
      <c r="A40" s="13"/>
      <c r="E40" s="15"/>
      <c r="F40" s="15"/>
      <c r="G40" s="15">
        <f t="shared" si="1"/>
        <v>0</v>
      </c>
    </row>
    <row r="41" spans="1:7" s="14" customFormat="1" x14ac:dyDescent="0.2">
      <c r="A41" s="13"/>
      <c r="E41" s="15"/>
      <c r="F41" s="15"/>
      <c r="G41" s="15">
        <f t="shared" si="1"/>
        <v>0</v>
      </c>
    </row>
    <row r="42" spans="1:7" s="14" customFormat="1" x14ac:dyDescent="0.2">
      <c r="A42" s="13"/>
      <c r="E42" s="15"/>
      <c r="F42" s="15"/>
      <c r="G42" s="15">
        <f t="shared" si="1"/>
        <v>0</v>
      </c>
    </row>
    <row r="43" spans="1:7" s="14" customFormat="1" x14ac:dyDescent="0.2">
      <c r="A43" s="13"/>
      <c r="D43" s="19"/>
      <c r="E43" s="15"/>
      <c r="F43" s="15"/>
      <c r="G43" s="15">
        <f t="shared" si="1"/>
        <v>0</v>
      </c>
    </row>
    <row r="44" spans="1:7" s="14" customFormat="1" x14ac:dyDescent="0.2">
      <c r="A44" s="13"/>
      <c r="D44" s="19"/>
      <c r="E44" s="15"/>
      <c r="F44" s="15"/>
      <c r="G44" s="15">
        <f t="shared" si="1"/>
        <v>0</v>
      </c>
    </row>
    <row r="45" spans="1:7" s="14" customFormat="1" x14ac:dyDescent="0.2">
      <c r="A45" s="13"/>
      <c r="D45" s="19"/>
      <c r="E45" s="15"/>
      <c r="F45" s="15"/>
      <c r="G45" s="15">
        <f t="shared" si="1"/>
        <v>0</v>
      </c>
    </row>
    <row r="46" spans="1:7" s="14" customFormat="1" x14ac:dyDescent="0.2">
      <c r="A46" s="13"/>
      <c r="D46" s="19"/>
      <c r="E46" s="15"/>
      <c r="F46" s="15"/>
      <c r="G46" s="15">
        <f t="shared" si="1"/>
        <v>0</v>
      </c>
    </row>
    <row r="47" spans="1:7" s="14" customFormat="1" x14ac:dyDescent="0.2">
      <c r="A47" s="13"/>
      <c r="E47" s="15"/>
      <c r="F47" s="15"/>
      <c r="G47" s="15">
        <f t="shared" si="1"/>
        <v>0</v>
      </c>
    </row>
    <row r="48" spans="1:7" s="14" customFormat="1" x14ac:dyDescent="0.2">
      <c r="A48" s="13"/>
      <c r="D48" s="19"/>
      <c r="E48" s="15"/>
      <c r="F48" s="15"/>
      <c r="G48" s="15">
        <f t="shared" si="1"/>
        <v>0</v>
      </c>
    </row>
    <row r="49" spans="1:10" s="14" customFormat="1" x14ac:dyDescent="0.2">
      <c r="A49" s="13"/>
      <c r="E49" s="15"/>
      <c r="F49" s="15"/>
      <c r="G49" s="15">
        <f t="shared" si="1"/>
        <v>0</v>
      </c>
    </row>
    <row r="50" spans="1:10" s="14" customFormat="1" x14ac:dyDescent="0.2">
      <c r="A50" s="13"/>
      <c r="D50" s="19"/>
      <c r="E50" s="15"/>
      <c r="F50" s="15"/>
      <c r="G50" s="15">
        <f t="shared" si="1"/>
        <v>0</v>
      </c>
    </row>
    <row r="51" spans="1:10" s="14" customFormat="1" x14ac:dyDescent="0.2">
      <c r="A51" s="13"/>
      <c r="D51" s="19"/>
      <c r="E51" s="15"/>
      <c r="F51" s="15"/>
      <c r="G51" s="15">
        <f t="shared" si="1"/>
        <v>0</v>
      </c>
    </row>
    <row r="52" spans="1:10" s="14" customFormat="1" x14ac:dyDescent="0.2">
      <c r="A52" s="13"/>
      <c r="D52" s="19"/>
      <c r="E52" s="15"/>
      <c r="F52" s="15"/>
      <c r="G52" s="15">
        <f t="shared" si="1"/>
        <v>0</v>
      </c>
    </row>
    <row r="53" spans="1:10" s="14" customFormat="1" x14ac:dyDescent="0.2">
      <c r="A53" s="13"/>
      <c r="D53" s="19"/>
      <c r="E53" s="15"/>
      <c r="F53" s="15"/>
      <c r="G53" s="15">
        <f t="shared" si="1"/>
        <v>0</v>
      </c>
    </row>
    <row r="54" spans="1:10" s="14" customFormat="1" x14ac:dyDescent="0.2">
      <c r="A54" s="13"/>
      <c r="E54" s="15"/>
      <c r="F54" s="15"/>
      <c r="G54" s="15">
        <f t="shared" si="1"/>
        <v>0</v>
      </c>
    </row>
    <row r="55" spans="1:10" s="14" customFormat="1" x14ac:dyDescent="0.2">
      <c r="A55" s="13"/>
      <c r="D55" s="19"/>
      <c r="E55" s="15"/>
      <c r="F55" s="15"/>
      <c r="G55" s="15">
        <f t="shared" si="1"/>
        <v>0</v>
      </c>
    </row>
    <row r="56" spans="1:10" s="14" customFormat="1" x14ac:dyDescent="0.2">
      <c r="A56" s="13"/>
      <c r="D56" s="19"/>
      <c r="E56" s="15"/>
      <c r="F56" s="15"/>
      <c r="G56" s="15">
        <f t="shared" si="1"/>
        <v>0</v>
      </c>
    </row>
    <row r="57" spans="1:10" s="14" customFormat="1" x14ac:dyDescent="0.2">
      <c r="A57" s="13"/>
      <c r="D57" s="19"/>
      <c r="E57" s="15"/>
      <c r="F57" s="15"/>
      <c r="G57" s="15">
        <f t="shared" si="1"/>
        <v>0</v>
      </c>
    </row>
    <row r="58" spans="1:10" s="14" customFormat="1" x14ac:dyDescent="0.2">
      <c r="A58" s="13"/>
      <c r="E58" s="15"/>
      <c r="F58" s="15"/>
      <c r="G58" s="15">
        <f t="shared" si="1"/>
        <v>0</v>
      </c>
    </row>
    <row r="59" spans="1:10" s="14" customFormat="1" x14ac:dyDescent="0.2">
      <c r="A59" s="13"/>
      <c r="E59" s="15"/>
      <c r="F59" s="15"/>
      <c r="G59" s="15">
        <f t="shared" si="1"/>
        <v>0</v>
      </c>
    </row>
    <row r="60" spans="1:10" s="14" customFormat="1" x14ac:dyDescent="0.2">
      <c r="A60" s="13"/>
      <c r="D60" s="19"/>
      <c r="E60" s="15"/>
      <c r="F60" s="15"/>
      <c r="G60" s="15">
        <f t="shared" si="1"/>
        <v>0</v>
      </c>
    </row>
    <row r="61" spans="1:10" s="14" customFormat="1" x14ac:dyDescent="0.2">
      <c r="A61" s="13"/>
      <c r="D61" s="19"/>
      <c r="E61" s="15"/>
      <c r="F61" s="15"/>
      <c r="G61" s="15">
        <f t="shared" si="1"/>
        <v>0</v>
      </c>
    </row>
    <row r="62" spans="1:10" s="14" customFormat="1" x14ac:dyDescent="0.2">
      <c r="A62" s="13"/>
      <c r="D62" s="19"/>
      <c r="E62" s="15"/>
      <c r="F62" s="15"/>
      <c r="G62" s="15">
        <f t="shared" si="1"/>
        <v>0</v>
      </c>
    </row>
    <row r="63" spans="1:10" s="14" customFormat="1" x14ac:dyDescent="0.2">
      <c r="A63" s="13"/>
      <c r="D63" s="19"/>
      <c r="E63" s="15"/>
      <c r="F63" s="15"/>
      <c r="G63" s="15">
        <f t="shared" si="1"/>
        <v>0</v>
      </c>
    </row>
    <row r="64" spans="1:10" s="14" customFormat="1" ht="48" x14ac:dyDescent="0.2">
      <c r="A64" s="13"/>
      <c r="D64" s="19"/>
      <c r="E64" s="15"/>
      <c r="F64" s="15"/>
      <c r="G64" s="15">
        <f t="shared" si="1"/>
        <v>0</v>
      </c>
      <c r="I64" s="14" t="s">
        <v>25</v>
      </c>
      <c r="J64" s="14" t="s">
        <v>26</v>
      </c>
    </row>
    <row r="65" spans="1:9" s="14" customFormat="1" x14ac:dyDescent="0.2">
      <c r="A65" s="13"/>
      <c r="D65" s="19"/>
      <c r="E65" s="15"/>
      <c r="F65" s="15"/>
      <c r="G65" s="15">
        <f t="shared" ref="G65:G68" si="2">E65-F65</f>
        <v>0</v>
      </c>
    </row>
    <row r="66" spans="1:9" s="14" customFormat="1" x14ac:dyDescent="0.2">
      <c r="A66" s="13"/>
      <c r="D66" s="19"/>
      <c r="E66" s="15"/>
      <c r="F66" s="15"/>
      <c r="G66" s="15">
        <f t="shared" si="2"/>
        <v>0</v>
      </c>
    </row>
    <row r="67" spans="1:9" s="14" customFormat="1" x14ac:dyDescent="0.2">
      <c r="A67" s="13"/>
      <c r="D67" s="19"/>
      <c r="E67" s="15"/>
      <c r="F67" s="15"/>
      <c r="G67" s="15">
        <f t="shared" si="2"/>
        <v>0</v>
      </c>
    </row>
    <row r="68" spans="1:9" s="2" customFormat="1" x14ac:dyDescent="0.2">
      <c r="A68" s="16"/>
      <c r="C68" s="17"/>
      <c r="E68" s="12"/>
      <c r="F68" s="12"/>
      <c r="G68" s="15">
        <f t="shared" si="2"/>
        <v>0</v>
      </c>
    </row>
    <row r="69" spans="1:9" x14ac:dyDescent="0.2">
      <c r="C69" s="10" t="s">
        <v>2</v>
      </c>
      <c r="E69" s="4">
        <f>SUM(E1:E68)</f>
        <v>3181.86</v>
      </c>
      <c r="F69" s="4">
        <f>SUM(F1:F68)</f>
        <v>1424.3</v>
      </c>
      <c r="G69" s="4">
        <f>SUM(G1:G68)</f>
        <v>1757.56</v>
      </c>
      <c r="I69" s="4">
        <f>E69-F69</f>
        <v>1757.5600000000002</v>
      </c>
    </row>
    <row r="71" spans="1:9" x14ac:dyDescent="0.2">
      <c r="C71" s="10" t="s">
        <v>21</v>
      </c>
      <c r="D71" s="4"/>
      <c r="E71" s="4">
        <f>E65+E66+E39</f>
        <v>0</v>
      </c>
      <c r="F71" s="4">
        <f>F65+F66+F39</f>
        <v>0</v>
      </c>
      <c r="G71" s="4">
        <f>E71-F71</f>
        <v>0</v>
      </c>
    </row>
    <row r="72" spans="1:9" x14ac:dyDescent="0.2">
      <c r="C72" s="10" t="s">
        <v>20</v>
      </c>
      <c r="D72" s="4"/>
      <c r="E72" s="4">
        <f>E15+E17+E18+E24+E25+E26+E27+E28+E31+E34+E35+E37+E40+E42+E46+E47+E50+E54+E56+E58</f>
        <v>695.34</v>
      </c>
      <c r="F72" s="4">
        <f>F15+F17+F18+F24+F25+F26+F27+F28+F31+F34+F35+F37+F40+F42+F46+F47+F50+F54+F56+F58</f>
        <v>476.7</v>
      </c>
      <c r="G72" s="4">
        <f>E72-F72</f>
        <v>218.64000000000004</v>
      </c>
    </row>
    <row r="73" spans="1:9" x14ac:dyDescent="0.2">
      <c r="C73" s="10" t="s">
        <v>14</v>
      </c>
      <c r="E73" s="4">
        <v>0</v>
      </c>
      <c r="F73" s="4">
        <v>0</v>
      </c>
      <c r="G73" s="4">
        <f t="shared" ref="G73:G79" si="3">E73-F73</f>
        <v>0</v>
      </c>
    </row>
    <row r="74" spans="1:9" x14ac:dyDescent="0.2">
      <c r="C74" s="10" t="s">
        <v>17</v>
      </c>
      <c r="E74" s="4">
        <f>E23+E29+E33+E36+E51+E52+E61</f>
        <v>0</v>
      </c>
      <c r="F74" s="4">
        <f>F23+F29+F33+F36+F51+F52+F61</f>
        <v>0</v>
      </c>
      <c r="G74" s="4">
        <f t="shared" si="3"/>
        <v>0</v>
      </c>
    </row>
    <row r="75" spans="1:9" x14ac:dyDescent="0.2">
      <c r="C75" s="10" t="s">
        <v>19</v>
      </c>
      <c r="E75" s="4">
        <f>E16</f>
        <v>175</v>
      </c>
      <c r="F75" s="4">
        <f>F16</f>
        <v>150</v>
      </c>
      <c r="G75" s="4">
        <f t="shared" si="3"/>
        <v>25</v>
      </c>
    </row>
    <row r="76" spans="1:9" x14ac:dyDescent="0.2">
      <c r="C76" s="10" t="s">
        <v>9</v>
      </c>
      <c r="E76" s="4">
        <v>0</v>
      </c>
      <c r="F76" s="4">
        <v>0</v>
      </c>
      <c r="G76" s="4">
        <f t="shared" si="3"/>
        <v>0</v>
      </c>
    </row>
    <row r="77" spans="1:9" x14ac:dyDescent="0.2">
      <c r="C77" s="10" t="s">
        <v>13</v>
      </c>
      <c r="E77" s="4">
        <f>E69-SUM(E71:E76)</f>
        <v>2311.52</v>
      </c>
      <c r="F77" s="4">
        <f>F69-SUM(F71:F76)</f>
        <v>797.59999999999991</v>
      </c>
      <c r="G77" s="4">
        <f t="shared" si="3"/>
        <v>1513.92</v>
      </c>
    </row>
    <row r="78" spans="1:9" x14ac:dyDescent="0.2">
      <c r="G78" s="4">
        <f t="shared" si="3"/>
        <v>0</v>
      </c>
    </row>
    <row r="79" spans="1:9" x14ac:dyDescent="0.2">
      <c r="C79" s="10" t="s">
        <v>2</v>
      </c>
      <c r="E79" s="4">
        <f>SUM(E71:E77)</f>
        <v>3181.86</v>
      </c>
      <c r="F79" s="4">
        <f>SUM(F71:F77)</f>
        <v>1424.3</v>
      </c>
      <c r="G79" s="4">
        <f t="shared" si="3"/>
        <v>1757.5600000000002</v>
      </c>
    </row>
    <row r="81" spans="3:7" x14ac:dyDescent="0.2">
      <c r="C81" s="11" t="s">
        <v>15</v>
      </c>
      <c r="G81" s="4">
        <v>0</v>
      </c>
    </row>
    <row r="82" spans="3:7" x14ac:dyDescent="0.2">
      <c r="D82" t="s">
        <v>22</v>
      </c>
      <c r="E82" s="4">
        <f>E73+E77</f>
        <v>2311.52</v>
      </c>
    </row>
  </sheetData>
  <sortState ref="A4:G64">
    <sortCondition ref="A4:A64"/>
  </sortState>
  <phoneticPr fontId="4" type="noConversion"/>
  <pageMargins left="0.75" right="0.75" top="1" bottom="1" header="0.5" footer="0.5"/>
  <pageSetup orientation="landscape" horizontalDpi="4294967292" verticalDpi="4294967292"/>
  <ignoredErrors>
    <ignoredError sqref="F69:G69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Clozure Associates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St Clair</dc:creator>
  <cp:keywords/>
  <dc:description/>
  <cp:lastModifiedBy>Microsoft Office User</cp:lastModifiedBy>
  <cp:lastPrinted>2013-11-05T21:22:43Z</cp:lastPrinted>
  <dcterms:created xsi:type="dcterms:W3CDTF">2013-07-27T13:26:03Z</dcterms:created>
  <dcterms:modified xsi:type="dcterms:W3CDTF">2016-01-10T15:10:30Z</dcterms:modified>
  <cp:category/>
</cp:coreProperties>
</file>